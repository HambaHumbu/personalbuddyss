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Tier pricing" sheetId="2" state="visible" r:id="rId2"/>
    <sheet xmlns:r="http://schemas.openxmlformats.org/officeDocument/2006/relationships" name="BOM" sheetId="3" state="visible" r:id="rId3"/>
    <sheet xmlns:r="http://schemas.openxmlformats.org/officeDocument/2006/relationships" name="Add-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15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1" t="inlineStr">
        <is>
          <t>PERSONAL BUDDIES - pricing assumptions (CAD)</t>
        </is>
      </c>
    </row>
    <row r="3">
      <c r="A3" t="inlineStr">
        <is>
          <t>Filament per unit</t>
        </is>
      </c>
      <c r="B3" t="n">
        <v>3.8</v>
      </c>
    </row>
    <row r="4">
      <c r="A4" t="inlineStr">
        <is>
          <t>Print time (hours)</t>
        </is>
      </c>
      <c r="B4" t="n">
        <v>6</v>
      </c>
    </row>
    <row r="5">
      <c r="A5" t="inlineStr">
        <is>
          <t>Print cost per hour</t>
        </is>
      </c>
      <c r="B5" t="n">
        <v>2.5</v>
      </c>
    </row>
    <row r="6">
      <c r="A6" t="inlineStr">
        <is>
          <t>Assembly/test labour (hours)</t>
        </is>
      </c>
      <c r="B6" t="n">
        <v>1</v>
      </c>
    </row>
    <row r="7">
      <c r="A7" t="inlineStr">
        <is>
          <t>Labour rate per hour</t>
        </is>
      </c>
      <c r="B7" t="n">
        <v>25</v>
      </c>
    </row>
    <row r="8">
      <c r="A8" t="inlineStr">
        <is>
          <t>Packaging per unit</t>
        </is>
      </c>
      <c r="B8" t="n">
        <v>5</v>
      </c>
    </row>
    <row r="9">
      <c r="A9" t="inlineStr">
        <is>
          <t>Stripe fee pct</t>
        </is>
      </c>
      <c r="B9" t="n">
        <v>0.029</v>
      </c>
    </row>
    <row r="10">
      <c r="A10" t="inlineStr">
        <is>
          <t>Stripe fee fixed</t>
        </is>
      </c>
      <c r="B10" t="n">
        <v>0.3</v>
      </c>
    </row>
    <row r="11">
      <c r="A11" t="inlineStr">
        <is>
          <t>Warranty reserve pct</t>
        </is>
      </c>
      <c r="B11" t="n">
        <v>0.03</v>
      </c>
    </row>
    <row r="12">
      <c r="A12" t="inlineStr">
        <is>
          <t>Rework reserve pct</t>
        </is>
      </c>
      <c r="B12" t="n">
        <v>0.03</v>
      </c>
    </row>
    <row r="13">
      <c r="A13" s="2" t="inlineStr">
        <is>
          <t>Change any B value and the Tier pricing sheet recalculates.</t>
        </is>
      </c>
      <c r="B13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Tier</t>
        </is>
      </c>
      <c r="B1" s="3" t="inlineStr">
        <is>
          <t>Parts (CAD)</t>
        </is>
      </c>
      <c r="C1" s="3" t="inlineStr">
        <is>
          <t>Fixed unit cost</t>
        </is>
      </c>
      <c r="D1" s="3" t="inlineStr">
        <is>
          <t>Proposed price (CAD)</t>
        </is>
      </c>
      <c r="E1" s="3" t="inlineStr">
        <is>
          <t>Variable fees</t>
        </is>
      </c>
      <c r="F1" s="3" t="inlineStr">
        <is>
          <t>Total cost</t>
        </is>
      </c>
      <c r="G1" s="3" t="inlineStr">
        <is>
          <t>Gross margin</t>
        </is>
      </c>
      <c r="H1" s="3" t="inlineStr">
        <is>
          <t>Meets 50% target?</t>
        </is>
      </c>
    </row>
    <row r="2">
      <c r="A2" t="inlineStr">
        <is>
          <t>Starter</t>
        </is>
      </c>
      <c r="B2" t="n">
        <v>56.72</v>
      </c>
      <c r="C2">
        <f>B2+Assumptions!$B$3+Assumptions!$B$4*Assumptions!$B$5+Assumptions!$B$6*Assumptions!$B$7+Assumptions!$B$8</f>
        <v/>
      </c>
      <c r="D2" t="n">
        <v>259</v>
      </c>
      <c r="E2">
        <f>D2*Assumptions!$B$9+Assumptions!$B$10+D2*Assumptions!$B$11+D2*Assumptions!$B$12</f>
        <v/>
      </c>
      <c r="F2">
        <f>C2+E2</f>
        <v/>
      </c>
      <c r="G2" s="4">
        <f>(D2-F2)/D2</f>
        <v/>
      </c>
      <c r="H2">
        <f>IF(G2&gt;=Assumptions!$B$13,"YES","NO")</f>
        <v/>
      </c>
    </row>
    <row r="3">
      <c r="A3" t="inlineStr">
        <is>
          <t>Smart</t>
        </is>
      </c>
      <c r="B3" t="n">
        <v>68.73999999999999</v>
      </c>
      <c r="C3">
        <f>B3+Assumptions!$B$3+Assumptions!$B$4*Assumptions!$B$5+Assumptions!$B$6*Assumptions!$B$7+Assumptions!$B$8</f>
        <v/>
      </c>
      <c r="D3" t="n">
        <v>289</v>
      </c>
      <c r="E3">
        <f>D3*Assumptions!$B$9+Assumptions!$B$10+D3*Assumptions!$B$11+D3*Assumptions!$B$12</f>
        <v/>
      </c>
      <c r="F3">
        <f>C3+E3</f>
        <v/>
      </c>
      <c r="G3" s="4">
        <f>(D3-F3)/D3</f>
        <v/>
      </c>
      <c r="H3">
        <f>IF(G3&gt;=Assumptions!$B$13,"YES","NO")</f>
        <v/>
      </c>
    </row>
    <row r="4">
      <c r="A4" t="inlineStr">
        <is>
          <t>Premium</t>
        </is>
      </c>
      <c r="B4" t="n">
        <v>87.83</v>
      </c>
      <c r="C4">
        <f>B4+Assumptions!$B$3+Assumptions!$B$4*Assumptions!$B$5+Assumptions!$B$6*Assumptions!$B$7+Assumptions!$B$8</f>
        <v/>
      </c>
      <c r="D4" t="n">
        <v>335</v>
      </c>
      <c r="E4">
        <f>D4*Assumptions!$B$9+Assumptions!$B$10+D4*Assumptions!$B$11+D4*Assumptions!$B$12</f>
        <v/>
      </c>
      <c r="F4">
        <f>C4+E4</f>
        <v/>
      </c>
      <c r="G4" s="4">
        <f>(D4-F4)/D4</f>
        <v/>
      </c>
      <c r="H4">
        <f>IF(G4&gt;=Assumptions!$B$13,"YES","NO")</f>
        <v/>
      </c>
    </row>
    <row r="5">
      <c r="A5" t="inlineStr">
        <is>
          <t>Custom (floor)</t>
        </is>
      </c>
      <c r="B5" t="n">
        <v>87.83</v>
      </c>
      <c r="C5">
        <f>B5+Assumptions!$B$3+Assumptions!$B$4*Assumptions!$B$5+Assumptions!$B$6*Assumptions!$B$7+Assumptions!$B$8</f>
        <v/>
      </c>
      <c r="D5" t="n">
        <v>399</v>
      </c>
      <c r="E5">
        <f>D5*Assumptions!$B$9+Assumptions!$B$10+D5*Assumptions!$B$11+D5*Assumptions!$B$12</f>
        <v/>
      </c>
      <c r="F5">
        <f>C5+E5</f>
        <v/>
      </c>
      <c r="G5" s="4">
        <f>(D5-F5)/D5</f>
        <v/>
      </c>
      <c r="H5">
        <f>IF(G5&gt;=Assumptions!$B$13,"YES","NO")</f>
        <v/>
      </c>
    </row>
    <row r="6">
      <c r="A6" t="inlineStr">
        <is>
          <t>Voice (SD boot)</t>
        </is>
      </c>
      <c r="B6" t="n">
        <v>378.65</v>
      </c>
      <c r="C6">
        <f>B6+Assumptions!$B$3+Assumptions!$B$4*Assumptions!$B$5+Assumptions!$B$6*Assumptions!$B$7+Assumptions!$B$8</f>
        <v/>
      </c>
      <c r="D6" t="n">
        <v>1049</v>
      </c>
      <c r="E6">
        <f>D6*Assumptions!$B$9+Assumptions!$B$10+D6*Assumptions!$B$11+D6*Assumptions!$B$12</f>
        <v/>
      </c>
      <c r="F6">
        <f>C6+E6</f>
        <v/>
      </c>
      <c r="G6" s="4">
        <f>(D6-F6)/D6</f>
        <v/>
      </c>
      <c r="H6">
        <f>IF(G6&gt;=Assumptions!$B$13,"YES","NO")</f>
        <v/>
      </c>
    </row>
    <row r="7">
      <c r="A7" t="inlineStr">
        <is>
          <t>Voice (NVMe)</t>
        </is>
      </c>
      <c r="B7" t="n">
        <v>456.75</v>
      </c>
      <c r="C7">
        <f>B7+Assumptions!$B$3+Assumptions!$B$4*Assumptions!$B$5+Assumptions!$B$6*Assumptions!$B$7+Assumptions!$B$8</f>
        <v/>
      </c>
      <c r="D7" t="n">
        <v>1239</v>
      </c>
      <c r="E7">
        <f>D7*Assumptions!$B$9+Assumptions!$B$10+D7*Assumptions!$B$11+D7*Assumptions!$B$12</f>
        <v/>
      </c>
      <c r="F7">
        <f>C7+E7</f>
        <v/>
      </c>
      <c r="G7" s="4">
        <f>(D7-F7)/D7</f>
        <v/>
      </c>
      <c r="H7">
        <f>IF(G7&gt;=Assumptions!$B$13,"YES","NO")</f>
        <v/>
      </c>
    </row>
    <row r="9">
      <c r="A9" s="2" t="inlineStr">
        <is>
          <t>Custom tier: fixed cost excludes design labour; quote must cover it.</t>
        </is>
      </c>
    </row>
    <row r="10">
      <c r="A10" s="2" t="inlineStr">
        <is>
          <t>Voice tier: Pi 5 prices are volatile; review monthly and confirm price at order.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>
      <c r="A1" s="3" t="inlineStr">
        <is>
          <t>tier</t>
        </is>
      </c>
      <c r="B1" s="3" t="inlineStr">
        <is>
          <t>part</t>
        </is>
      </c>
      <c r="C1" s="3" t="inlineStr">
        <is>
          <t>spec</t>
        </is>
      </c>
      <c r="D1" s="3" t="inlineStr">
        <is>
          <t>supplier</t>
        </is>
      </c>
      <c r="E1" s="3" t="inlineStr">
        <is>
          <t>unit_price_cad</t>
        </is>
      </c>
      <c r="F1" s="3" t="inlineStr">
        <is>
          <t>qty</t>
        </is>
      </c>
      <c r="G1" s="3" t="inlineStr">
        <is>
          <t>line_total</t>
        </is>
      </c>
      <c r="H1" s="3" t="inlineStr">
        <is>
          <t>source_url</t>
        </is>
      </c>
      <c r="I1" s="3" t="inlineStr">
        <is>
          <t>checked_date</t>
        </is>
      </c>
    </row>
    <row r="2">
      <c r="A2" t="inlineStr">
        <is>
          <t>starter</t>
        </is>
      </c>
      <c r="B2" t="inlineStr">
        <is>
          <t>ESP32-S3 dev board</t>
        </is>
      </c>
      <c r="C2" t="inlineStr">
        <is>
          <t>ESP32-S3-DevKitC-1 N16R8, Type-C [UNVERIFIED: catalog snapshot only, page blocked]</t>
        </is>
      </c>
      <c r="D2" t="inlineStr">
        <is>
          <t>Walmart.ca (marketplace seller)</t>
        </is>
      </c>
      <c r="E2" t="inlineStr">
        <is>
          <t>16.65</t>
        </is>
      </c>
      <c r="F2" t="inlineStr">
        <is>
          <t>1</t>
        </is>
      </c>
      <c r="G2" t="inlineStr">
        <is>
          <t>16.65</t>
        </is>
      </c>
      <c r="H2" t="inlineStr">
        <is>
          <t>https://www.walmart.ca/en/ip/ESP32-S3-DevKitC-1-Development-Board-Module-Equipped-with-the-ESP32-S3-1-N16R8-Module-WIFI-No-Welding-1-Development-Board-Module/3GYRLZQ78NVB</t>
        </is>
      </c>
      <c r="I2" t="inlineStr">
        <is>
          <t>2026-10-18</t>
        </is>
      </c>
    </row>
    <row r="3">
      <c r="A3" t="inlineStr">
        <is>
          <t>starter</t>
        </is>
      </c>
      <c r="B3" t="inlineStr">
        <is>
          <t>OLED display 0.96in</t>
        </is>
      </c>
      <c r="C3" t="inlineStr">
        <is>
          <t>SSD1306 128x64 I2C, blue, presoldered pins [GBP-&gt;CAD approx @1.83]</t>
        </is>
      </c>
      <c r="D3" t="inlineStr">
        <is>
          <t>AdditiveArcade (UK)</t>
        </is>
      </c>
      <c r="E3" t="inlineStr">
        <is>
          <t>6.68</t>
        </is>
      </c>
      <c r="F3" t="inlineStr">
        <is>
          <t>1</t>
        </is>
      </c>
      <c r="G3" t="inlineStr">
        <is>
          <t>6.68</t>
        </is>
      </c>
      <c r="H3" t="inlineStr">
        <is>
          <t>https://additivearcade.com/products/096-oled-display</t>
        </is>
      </c>
      <c r="I3" t="inlineStr">
        <is>
          <t>2026-10-18</t>
        </is>
      </c>
    </row>
    <row r="4">
      <c r="A4" t="inlineStr">
        <is>
          <t>starter</t>
        </is>
      </c>
      <c r="B4" t="inlineStr">
        <is>
          <t>DS3231 RTC module</t>
        </is>
      </c>
      <c r="C4" t="inlineStr">
        <is>
          <t>with AT24C32 EEPROM, CR2032 battery included [USD-&gt;CAD @1.4125]</t>
        </is>
      </c>
      <c r="D4" t="inlineStr">
        <is>
          <t>Addicore (US)</t>
        </is>
      </c>
      <c r="E4" t="inlineStr">
        <is>
          <t>6.48</t>
        </is>
      </c>
      <c r="F4" t="inlineStr">
        <is>
          <t>1</t>
        </is>
      </c>
      <c r="G4" t="inlineStr">
        <is>
          <t>6.48</t>
        </is>
      </c>
      <c r="H4" t="inlineStr">
        <is>
          <t>https://www.addicore.com/products/ds3231-real-time-clock-module-with-eeprom</t>
        </is>
      </c>
      <c r="I4" t="inlineStr">
        <is>
          <t>2026-10-18</t>
        </is>
      </c>
    </row>
    <row r="5">
      <c r="A5" t="inlineStr">
        <is>
          <t>starter</t>
        </is>
      </c>
      <c r="B5" t="inlineStr">
        <is>
          <t>Piezo buzzer module</t>
        </is>
      </c>
      <c r="C5" t="inlineStr">
        <is>
          <t>active 5V, 22x22mm PCB [USD-&gt;CAD @1.4125]</t>
        </is>
      </c>
      <c r="D5" t="inlineStr">
        <is>
          <t>HackMakeMod (US)</t>
        </is>
      </c>
      <c r="E5" t="inlineStr">
        <is>
          <t>4.22</t>
        </is>
      </c>
      <c r="F5" t="inlineStr">
        <is>
          <t>1</t>
        </is>
      </c>
      <c r="G5" t="inlineStr">
        <is>
          <t>4.22</t>
        </is>
      </c>
      <c r="H5" t="inlineStr">
        <is>
          <t>https://hackmakemod.com/products/active-buzzer</t>
        </is>
      </c>
      <c r="I5" t="inlineStr">
        <is>
          <t>2026-10-18</t>
        </is>
      </c>
    </row>
    <row r="6">
      <c r="A6" t="inlineStr">
        <is>
          <t>starter</t>
        </is>
      </c>
      <c r="B6" t="inlineStr">
        <is>
          <t>Tactile push button</t>
        </is>
      </c>
      <c r="C6" t="inlineStr">
        <is>
          <t>6x6x4.3mm momentary [USD-&gt;CAD @1.4125]</t>
        </is>
      </c>
      <c r="D6" t="inlineStr">
        <is>
          <t>SaberBay (US)</t>
        </is>
      </c>
      <c r="E6" t="inlineStr">
        <is>
          <t>1.41</t>
        </is>
      </c>
      <c r="F6" t="inlineStr">
        <is>
          <t>2</t>
        </is>
      </c>
      <c r="G6" t="inlineStr">
        <is>
          <t>2.82</t>
        </is>
      </c>
      <c r="H6" t="inlineStr">
        <is>
          <t>https://www.saberbay.com/products/untitled-sep6_08-10</t>
        </is>
      </c>
      <c r="I6" t="inlineStr">
        <is>
          <t>2026-10-18</t>
        </is>
      </c>
    </row>
    <row r="7">
      <c r="A7" t="inlineStr">
        <is>
          <t>starter</t>
        </is>
      </c>
      <c r="B7" t="inlineStr">
        <is>
          <t>USB-C breakout</t>
        </is>
      </c>
      <c r="C7" t="inlineStr">
        <is>
          <t>panel-mount breakout + cable [USD-&gt;CAD @1.4125; NOTE: fightstick form factor, re-source a generic PCB breakout]</t>
        </is>
      </c>
      <c r="D7" t="inlineStr">
        <is>
          <t>EternalRival (US)</t>
        </is>
      </c>
      <c r="E7" t="inlineStr">
        <is>
          <t>9.87</t>
        </is>
      </c>
      <c r="F7" t="inlineStr">
        <is>
          <t>1</t>
        </is>
      </c>
      <c r="G7" t="inlineStr">
        <is>
          <t>9.87</t>
        </is>
      </c>
      <c r="H7" t="inlineStr">
        <is>
          <t>https://www.eternalrival.com/products/usb-c-low-profile-bracket-with-cable</t>
        </is>
      </c>
      <c r="I7" t="inlineStr">
        <is>
          <t>2026-10-18</t>
        </is>
      </c>
    </row>
    <row r="8">
      <c r="A8" t="inlineStr">
        <is>
          <t>starter</t>
        </is>
      </c>
      <c r="B8" t="inlineStr">
        <is>
          <t>USB-C cable 1m</t>
        </is>
      </c>
      <c r="C8" t="inlineStr">
        <is>
          <t>generic charge cable [UNVERIFIED estimate]</t>
        </is>
      </c>
      <c r="D8" t="inlineStr">
        <is>
          <t>n/a</t>
        </is>
      </c>
      <c r="E8" t="inlineStr">
        <is>
          <t>10.00</t>
        </is>
      </c>
      <c r="F8" t="inlineStr">
        <is>
          <t>1</t>
        </is>
      </c>
      <c r="G8" t="inlineStr">
        <is>
          <t>10.00</t>
        </is>
      </c>
      <c r="H8" t="inlineStr"/>
      <c r="I8" t="inlineStr">
        <is>
          <t>2026-10-18</t>
        </is>
      </c>
    </row>
    <row r="9">
      <c r="A9" t="inlineStr">
        <is>
          <t>smart</t>
        </is>
      </c>
      <c r="B9" t="inlineStr">
        <is>
          <t>SHT40 temp/humidity module</t>
        </is>
      </c>
      <c r="C9" t="inlineStr">
        <is>
          <t>I2C module [UNVERIFIED; reference Adafruit 4885 $5.95 USD -&gt; CAD @1.4125]</t>
        </is>
      </c>
      <c r="D9" t="inlineStr">
        <is>
          <t>n/a</t>
        </is>
      </c>
      <c r="E9" t="inlineStr">
        <is>
          <t>8.40</t>
        </is>
      </c>
      <c r="F9" t="inlineStr">
        <is>
          <t>1</t>
        </is>
      </c>
      <c r="G9" t="inlineStr">
        <is>
          <t>8.40</t>
        </is>
      </c>
      <c r="H9" t="inlineStr">
        <is>
          <t>https://www.adafruit.com/product/4885</t>
        </is>
      </c>
      <c r="I9" t="inlineStr">
        <is>
          <t>2026-10-18</t>
        </is>
      </c>
    </row>
    <row r="10">
      <c r="A10" t="inlineStr">
        <is>
          <t>smart</t>
        </is>
      </c>
      <c r="B10" t="inlineStr">
        <is>
          <t>WS2812B RGB LEDs</t>
        </is>
      </c>
      <c r="C10" t="inlineStr">
        <is>
          <t>15-LED segment from 60 LED/m strip, 5V [USD-&gt;CAD @1.4125, pro-rata]</t>
        </is>
      </c>
      <c r="D10" t="inlineStr">
        <is>
          <t>ShillehTek (US)</t>
        </is>
      </c>
      <c r="E10" t="inlineStr">
        <is>
          <t>2.12</t>
        </is>
      </c>
      <c r="F10" t="inlineStr">
        <is>
          <t>1</t>
        </is>
      </c>
      <c r="G10" t="inlineStr">
        <is>
          <t>2.12</t>
        </is>
      </c>
      <c r="H10" t="inlineStr">
        <is>
          <t>https://shillehtek.com/products/non-waterproof-ws2812b-smd-led-strip-60-led-meter-flexible-5m-roll-5v-ip30</t>
        </is>
      </c>
      <c r="I10" t="inlineStr">
        <is>
          <t>2026-10-18</t>
        </is>
      </c>
    </row>
    <row r="11">
      <c r="A11" t="inlineStr">
        <is>
          <t>smart</t>
        </is>
      </c>
      <c r="B11" t="inlineStr">
        <is>
          <t>RGB diffuser</t>
        </is>
      </c>
      <c r="C11" t="inlineStr">
        <is>
          <t>frosted strip for LED diffuser [UNVERIFIED estimate]</t>
        </is>
      </c>
      <c r="D11" t="inlineStr">
        <is>
          <t>n/a</t>
        </is>
      </c>
      <c r="E11" t="inlineStr">
        <is>
          <t>1.50</t>
        </is>
      </c>
      <c r="F11" t="inlineStr">
        <is>
          <t>1</t>
        </is>
      </c>
      <c r="G11" t="inlineStr">
        <is>
          <t>1.50</t>
        </is>
      </c>
      <c r="H11" t="inlineStr"/>
      <c r="I11" t="inlineStr">
        <is>
          <t>2026-10-18</t>
        </is>
      </c>
    </row>
    <row r="12">
      <c r="A12" t="inlineStr">
        <is>
          <t>premium</t>
        </is>
      </c>
      <c r="B12" t="inlineStr">
        <is>
          <t>TTP223 touch module</t>
        </is>
      </c>
      <c r="C12" t="inlineStr">
        <is>
          <t>capacitive touch, 3.3-5V [GBP-&gt;CAD approx @1.83]</t>
        </is>
      </c>
      <c r="D12" t="inlineStr">
        <is>
          <t>Switch Electronics (UK)</t>
        </is>
      </c>
      <c r="E12" t="inlineStr">
        <is>
          <t>1.88</t>
        </is>
      </c>
      <c r="F12" t="inlineStr">
        <is>
          <t>1</t>
        </is>
      </c>
      <c r="G12" t="inlineStr">
        <is>
          <t>1.88</t>
        </is>
      </c>
      <c r="H12" t="inlineStr">
        <is>
          <t>https://www.switchelectronics.co.uk/products/ttp223b-1-channel-capacitive-touch-button-switch-module</t>
        </is>
      </c>
      <c r="I12" t="inlineStr">
        <is>
          <t>2026-10-18</t>
        </is>
      </c>
    </row>
    <row r="13">
      <c r="A13" t="inlineStr">
        <is>
          <t>premium</t>
        </is>
      </c>
      <c r="B13" t="inlineStr">
        <is>
          <t>MAX98357A I2S amp</t>
        </is>
      </c>
      <c r="C13" t="inlineStr">
        <is>
          <t>I2S 3W Class-D breakout [USD-&gt;CAD @1.4125]</t>
        </is>
      </c>
      <c r="D13" t="inlineStr">
        <is>
          <t>PMD Way (AU)</t>
        </is>
      </c>
      <c r="E13" t="inlineStr">
        <is>
          <t>13.02</t>
        </is>
      </c>
      <c r="F13" t="inlineStr">
        <is>
          <t>1</t>
        </is>
      </c>
      <c r="G13" t="inlineStr">
        <is>
          <t>13.02</t>
        </is>
      </c>
      <c r="H13" t="inlineStr">
        <is>
          <t>https://pmdway.com/products/max98357-i2s-3w-class-d-amplifier-breakout</t>
        </is>
      </c>
      <c r="I13" t="inlineStr">
        <is>
          <t>2026-10-18</t>
        </is>
      </c>
    </row>
    <row r="14">
      <c r="A14" t="inlineStr">
        <is>
          <t>premium</t>
        </is>
      </c>
      <c r="B14" t="inlineStr">
        <is>
          <t>Speaker</t>
        </is>
      </c>
      <c r="C14" t="inlineStr">
        <is>
          <t>8 ohm 2W, 40mm [USD-&gt;CAD @1.4125]</t>
        </is>
      </c>
      <c r="D14" t="inlineStr">
        <is>
          <t>ameriDroid (US)</t>
        </is>
      </c>
      <c r="E14" t="inlineStr">
        <is>
          <t>4.17</t>
        </is>
      </c>
      <c r="F14" t="inlineStr">
        <is>
          <t>1</t>
        </is>
      </c>
      <c r="G14" t="inlineStr">
        <is>
          <t>4.17</t>
        </is>
      </c>
      <c r="H14" t="inlineStr">
        <is>
          <t>https://ameridroid.com/products/8ohm-2w-36mm-mini-speaker</t>
        </is>
      </c>
      <c r="I14" t="inlineStr">
        <is>
          <t>2026-10-18</t>
        </is>
      </c>
    </row>
    <row r="15">
      <c r="A15" t="inlineStr">
        <is>
          <t>voice</t>
        </is>
      </c>
      <c r="B15" t="inlineStr">
        <is>
          <t>Raspberry Pi 5 8GB</t>
        </is>
      </c>
      <c r="C15" t="inlineStr">
        <is>
          <t>SC1112 board, 8GB LPDDR4X</t>
        </is>
      </c>
      <c r="D15" t="inlineStr">
        <is>
          <t>PiShop.ca</t>
        </is>
      </c>
      <c r="E15" t="inlineStr">
        <is>
          <t>249.50</t>
        </is>
      </c>
      <c r="F15" t="inlineStr">
        <is>
          <t>1</t>
        </is>
      </c>
      <c r="G15" t="inlineStr">
        <is>
          <t>249.50</t>
        </is>
      </c>
      <c r="H15" t="inlineStr">
        <is>
          <t>https://www.pishop.ca/product/raspberry-pi-5-8gb/</t>
        </is>
      </c>
      <c r="I15" t="inlineStr">
        <is>
          <t>2026-10-18</t>
        </is>
      </c>
    </row>
    <row r="16">
      <c r="A16" t="inlineStr">
        <is>
          <t>voice</t>
        </is>
      </c>
      <c r="B16" t="inlineStr">
        <is>
          <t>Raspberry Pi 5 16GB</t>
        </is>
      </c>
      <c r="C16" t="inlineStr">
        <is>
          <t>SC1113 board, 16GB [listed for reference; NOT recommended - RAM unused by workload]</t>
        </is>
      </c>
      <c r="D16" t="inlineStr">
        <is>
          <t>PiShop.ca</t>
        </is>
      </c>
      <c r="E16" t="inlineStr">
        <is>
          <t>434.85</t>
        </is>
      </c>
      <c r="F16" t="inlineStr">
        <is>
          <t>1</t>
        </is>
      </c>
      <c r="G16" t="inlineStr">
        <is>
          <t>434.85</t>
        </is>
      </c>
      <c r="H16" t="inlineStr">
        <is>
          <t>https://www.pishop.ca/product/raspberry-pi-5-16gb/</t>
        </is>
      </c>
      <c r="I16" t="inlineStr">
        <is>
          <t>2026-10-18</t>
        </is>
      </c>
    </row>
    <row r="17">
      <c r="A17" t="inlineStr">
        <is>
          <t>voice</t>
        </is>
      </c>
      <c r="B17" t="inlineStr">
        <is>
          <t>Pi 5 Active Cooler</t>
        </is>
      </c>
      <c r="C17" t="inlineStr">
        <is>
          <t>official SC1148</t>
        </is>
      </c>
      <c r="D17" t="inlineStr">
        <is>
          <t>PiShop.ca</t>
        </is>
      </c>
      <c r="E17" t="inlineStr">
        <is>
          <t>7.15</t>
        </is>
      </c>
      <c r="F17" t="inlineStr">
        <is>
          <t>1</t>
        </is>
      </c>
      <c r="G17" t="inlineStr">
        <is>
          <t>7.15</t>
        </is>
      </c>
      <c r="H17" t="inlineStr">
        <is>
          <t>https://www.pishop.ca/product/raspberry-pi-active-cooler/</t>
        </is>
      </c>
      <c r="I17" t="inlineStr">
        <is>
          <t>2026-10-18</t>
        </is>
      </c>
    </row>
    <row r="18">
      <c r="A18" t="inlineStr">
        <is>
          <t>voice</t>
        </is>
      </c>
      <c r="B18" t="inlineStr">
        <is>
          <t>USB microphone</t>
        </is>
      </c>
      <c r="C18" t="inlineStr">
        <is>
          <t>Adafruit mini USB mic [NOTE: not a mic array; ReSpeaker array UNVERIFIED at CA reseller]</t>
        </is>
      </c>
      <c r="D18" t="inlineStr">
        <is>
          <t>PiShop.ca</t>
        </is>
      </c>
      <c r="E18" t="inlineStr">
        <is>
          <t>8.95</t>
        </is>
      </c>
      <c r="F18" t="inlineStr">
        <is>
          <t>1</t>
        </is>
      </c>
      <c r="G18" t="inlineStr">
        <is>
          <t>8.95</t>
        </is>
      </c>
      <c r="H18" t="inlineStr">
        <is>
          <t>https://www.pishop.ca/product/mini-usb-microphone/</t>
        </is>
      </c>
      <c r="I18" t="inlineStr">
        <is>
          <t>2026-10-18</t>
        </is>
      </c>
    </row>
    <row r="19">
      <c r="A19" t="inlineStr">
        <is>
          <t>voice</t>
        </is>
      </c>
      <c r="B19" t="inlineStr">
        <is>
          <t>Round IPS display</t>
        </is>
      </c>
      <c r="C19" t="inlineStr">
        <is>
          <t>Waveshare 1.28in 240x240 IPS GC9A01, 4-wire SPI</t>
        </is>
      </c>
      <c r="D19" t="inlineStr">
        <is>
          <t>PiShop.ca</t>
        </is>
      </c>
      <c r="E19" t="inlineStr">
        <is>
          <t>20.95</t>
        </is>
      </c>
      <c r="F19" t="inlineStr">
        <is>
          <t>1</t>
        </is>
      </c>
      <c r="G19" t="inlineStr">
        <is>
          <t>20.95</t>
        </is>
      </c>
      <c r="H19" t="inlineStr">
        <is>
          <t>https://www.pishop.ca/product/240x240-general-1-28inch-round-lcd-display-module-65k-rgb/</t>
        </is>
      </c>
      <c r="I19" t="inlineStr">
        <is>
          <t>2026-10-18</t>
        </is>
      </c>
    </row>
    <row r="20">
      <c r="A20" t="inlineStr">
        <is>
          <t>voice</t>
        </is>
      </c>
      <c r="B20" t="inlineStr">
        <is>
          <t>microSD 128GB</t>
        </is>
      </c>
      <c r="C20" t="inlineStr">
        <is>
          <t>SanDisk High Endurance, UHS-I</t>
        </is>
      </c>
      <c r="D20" t="inlineStr">
        <is>
          <t>PiShop.ca</t>
        </is>
      </c>
      <c r="E20" t="inlineStr">
        <is>
          <t>55.45</t>
        </is>
      </c>
      <c r="F20" t="inlineStr">
        <is>
          <t>1</t>
        </is>
      </c>
      <c r="G20" t="inlineStr">
        <is>
          <t>55.45</t>
        </is>
      </c>
      <c r="H20" t="inlineStr">
        <is>
          <t>https://www.pishop.ca/product/sandisk-128gb-high-endurance-microsdxc-card-blank/</t>
        </is>
      </c>
      <c r="I20" t="inlineStr">
        <is>
          <t>2026-10-18</t>
        </is>
      </c>
    </row>
    <row r="21">
      <c r="A21" t="inlineStr">
        <is>
          <t>voice</t>
        </is>
      </c>
      <c r="B21" t="inlineStr">
        <is>
          <t>27W USB-C PD PSU</t>
        </is>
      </c>
      <c r="C21" t="inlineStr">
        <is>
          <t>official 5.1V/5A PD, white US</t>
        </is>
      </c>
      <c r="D21" t="inlineStr">
        <is>
          <t>PiShop.ca</t>
        </is>
      </c>
      <c r="E21" t="inlineStr">
        <is>
          <t>16.95</t>
        </is>
      </c>
      <c r="F21" t="inlineStr">
        <is>
          <t>1</t>
        </is>
      </c>
      <c r="G21" t="inlineStr">
        <is>
          <t>16.95</t>
        </is>
      </c>
      <c r="H21" t="inlineStr">
        <is>
          <t>https://www.pishop.ca/product/raspberry-pi-27w-usb-c-power-supply-white-us/</t>
        </is>
      </c>
      <c r="I21" t="inlineStr">
        <is>
          <t>2026-10-18</t>
        </is>
      </c>
    </row>
    <row r="22">
      <c r="A22" t="inlineStr">
        <is>
          <t>voice</t>
        </is>
      </c>
      <c r="B22" t="inlineStr">
        <is>
          <t>Mute slide switch</t>
        </is>
      </c>
      <c r="C22" t="inlineStr">
        <is>
          <t>DPDT on-on, 2-pack at CA$5.01 -&gt; per-unit</t>
        </is>
      </c>
      <c r="D22" t="inlineStr">
        <is>
          <t>B&amp;E Electronics (Calgary)</t>
        </is>
      </c>
      <c r="E22" t="inlineStr">
        <is>
          <t>2.51</t>
        </is>
      </c>
      <c r="F22" t="inlineStr">
        <is>
          <t>1</t>
        </is>
      </c>
      <c r="G22" t="inlineStr">
        <is>
          <t>2.51</t>
        </is>
      </c>
      <c r="H22" t="inlineStr">
        <is>
          <t>https://be-electronics.com/products/mode-46-010-2-slide-switch-dpdt-on-on-3a-125vac-1-5a-250vac-solder-terminals-2-pack</t>
        </is>
      </c>
      <c r="I22" t="inlineStr">
        <is>
          <t>2026-10-18</t>
        </is>
      </c>
    </row>
    <row r="23">
      <c r="A23" t="inlineStr">
        <is>
          <t>voice</t>
        </is>
      </c>
      <c r="B23" t="inlineStr">
        <is>
          <t>MAX98357A I2S amp</t>
        </is>
      </c>
      <c r="C23" t="inlineStr">
        <is>
          <t>I2S 3W Class-D breakout [USD-&gt;CAD @1.4125]</t>
        </is>
      </c>
      <c r="D23" t="inlineStr">
        <is>
          <t>PMD Way (AU)</t>
        </is>
      </c>
      <c r="E23" t="inlineStr">
        <is>
          <t>13.02</t>
        </is>
      </c>
      <c r="F23" t="inlineStr">
        <is>
          <t>1</t>
        </is>
      </c>
      <c r="G23" t="inlineStr">
        <is>
          <t>13.02</t>
        </is>
      </c>
      <c r="H23" t="inlineStr">
        <is>
          <t>https://pmdway.com/products/max98357-i2s-3w-class-d-amplifier-breakout</t>
        </is>
      </c>
      <c r="I23" t="inlineStr">
        <is>
          <t>2026-10-18</t>
        </is>
      </c>
    </row>
    <row r="24">
      <c r="A24" t="inlineStr">
        <is>
          <t>voice</t>
        </is>
      </c>
      <c r="B24" t="inlineStr">
        <is>
          <t>Speaker</t>
        </is>
      </c>
      <c r="C24" t="inlineStr">
        <is>
          <t>8 ohm 2W, 40mm [USD-&gt;CAD @1.4125]</t>
        </is>
      </c>
      <c r="D24" t="inlineStr">
        <is>
          <t>ameriDroid (US)</t>
        </is>
      </c>
      <c r="E24" t="inlineStr">
        <is>
          <t>4.17</t>
        </is>
      </c>
      <c r="F24" t="inlineStr">
        <is>
          <t>1</t>
        </is>
      </c>
      <c r="G24" t="inlineStr">
        <is>
          <t>4.17</t>
        </is>
      </c>
      <c r="H24" t="inlineStr">
        <is>
          <t>https://ameridroid.com/products/8ohm-2w-36mm-mini-speaker</t>
        </is>
      </c>
      <c r="I24" t="inlineStr">
        <is>
          <t>2026-10-18</t>
        </is>
      </c>
    </row>
    <row r="25">
      <c r="A25" t="inlineStr">
        <is>
          <t>voice</t>
        </is>
      </c>
      <c r="B25" t="inlineStr">
        <is>
          <t>NVMe HAT (optional)</t>
        </is>
      </c>
      <c r="C25" t="inlineStr">
        <is>
          <t>Waveshare PCIe-to-M.2 board (D), 2230-2280</t>
        </is>
      </c>
      <c r="D25" t="inlineStr">
        <is>
          <t>PiShop.ca</t>
        </is>
      </c>
      <c r="E25" t="inlineStr">
        <is>
          <t>10.60</t>
        </is>
      </c>
      <c r="F25" t="inlineStr">
        <is>
          <t>1</t>
        </is>
      </c>
      <c r="G25" t="inlineStr">
        <is>
          <t>10.60</t>
        </is>
      </c>
      <c r="H25" t="inlineStr">
        <is>
          <t>https://www.pishop.ca/product/pcie-to-m-2-adapter-board-d-for-raspberry-pi-5/</t>
        </is>
      </c>
      <c r="I25" t="inlineStr">
        <is>
          <t>2026-10-18</t>
        </is>
      </c>
    </row>
    <row r="26">
      <c r="A26" t="inlineStr">
        <is>
          <t>voice</t>
        </is>
      </c>
      <c r="B26" t="inlineStr">
        <is>
          <t>NVMe SSD 256GB (optional)</t>
        </is>
      </c>
      <c r="C26" t="inlineStr">
        <is>
          <t>budget 256GB [UNVERIFIED current price; PiShop 256GB SSDs all OOS today]</t>
        </is>
      </c>
      <c r="D26" t="inlineStr">
        <is>
          <t>Amazon.ca</t>
        </is>
      </c>
      <c r="E26" t="inlineStr">
        <is>
          <t>67.50</t>
        </is>
      </c>
      <c r="F26" t="inlineStr">
        <is>
          <t>1</t>
        </is>
      </c>
      <c r="G26" t="inlineStr">
        <is>
          <t>67.50</t>
        </is>
      </c>
      <c r="H26" t="inlineStr"/>
      <c r="I26" t="inlineStr">
        <is>
          <t>2026-10-18</t>
        </is>
      </c>
    </row>
    <row r="27">
      <c r="A27" t="inlineStr">
        <is>
          <t>custom</t>
        </is>
      </c>
      <c r="B27" t="inlineStr">
        <is>
          <t>OLED display 1.3in</t>
        </is>
      </c>
      <c r="C27" t="inlineStr">
        <is>
          <t>SH1106 128x64 I2C, white [USD-&gt;CAD @1.4125; upgrade option]</t>
        </is>
      </c>
      <c r="D27" t="inlineStr">
        <is>
          <t>ShillehTek (US)</t>
        </is>
      </c>
      <c r="E27" t="inlineStr">
        <is>
          <t>12.70</t>
        </is>
      </c>
      <c r="F27" t="inlineStr">
        <is>
          <t>1</t>
        </is>
      </c>
      <c r="G27" t="inlineStr">
        <is>
          <t>12.70</t>
        </is>
      </c>
      <c r="H27" t="inlineStr">
        <is>
          <t>https://shillehtek.com/products/1-3-i2c-white-oled-display-module-4-pin-sh1106</t>
        </is>
      </c>
      <c r="I27" t="inlineStr">
        <is>
          <t>2026-10-18</t>
        </is>
      </c>
    </row>
    <row r="28">
      <c r="A28" t="inlineStr">
        <is>
          <t>all</t>
        </is>
      </c>
      <c r="B28" t="inlineStr">
        <is>
          <t>PLA filament</t>
        </is>
      </c>
      <c r="C28" t="inlineStr">
        <is>
          <t>Elegoo PLA 1kg, ~200g per buddy</t>
        </is>
      </c>
      <c r="D28" t="inlineStr">
        <is>
          <t>Elegoo CA (ca.elegoo.com)</t>
        </is>
      </c>
      <c r="E28" t="inlineStr">
        <is>
          <t>18.99</t>
        </is>
      </c>
      <c r="F28" t="inlineStr">
        <is>
          <t>0.2</t>
        </is>
      </c>
      <c r="G28" t="inlineStr">
        <is>
          <t>3.80</t>
        </is>
      </c>
      <c r="H28" t="inlineStr">
        <is>
          <t>https://ca.elegoo.com/products/pla-filament-1-75mm-colored-1kg</t>
        </is>
      </c>
      <c r="I28" t="inlineStr">
        <is>
          <t>2026-10-18</t>
        </is>
      </c>
    </row>
    <row r="29">
      <c r="A29" t="inlineStr">
        <is>
          <t>all</t>
        </is>
      </c>
      <c r="B29" t="inlineStr">
        <is>
          <t>Machine time</t>
        </is>
      </c>
      <c r="C29" t="inlineStr">
        <is>
          <t>~6 print-hours @ CA$2.50/h all-in (depreciation + wear + power) [ESTIMATE]</t>
        </is>
      </c>
      <c r="D29" t="inlineStr">
        <is>
          <t>n/a</t>
        </is>
      </c>
      <c r="E29" t="inlineStr">
        <is>
          <t>15.00</t>
        </is>
      </c>
      <c r="F29" t="inlineStr">
        <is>
          <t>1</t>
        </is>
      </c>
      <c r="G29" t="inlineStr">
        <is>
          <t>15.00</t>
        </is>
      </c>
      <c r="H29" t="inlineStr"/>
      <c r="I29" t="inlineStr">
        <is>
          <t>2026-10-18</t>
        </is>
      </c>
    </row>
    <row r="30">
      <c r="A30" t="inlineStr">
        <is>
          <t>all</t>
        </is>
      </c>
      <c r="B30" t="inlineStr">
        <is>
          <t>Assembly + test labour</t>
        </is>
      </c>
      <c r="C30" t="inlineStr">
        <is>
          <t>60 min @ CA$25/h, Halifax [ASSUMPTION - validate with timed builds]</t>
        </is>
      </c>
      <c r="D30" t="inlineStr">
        <is>
          <t>n/a</t>
        </is>
      </c>
      <c r="E30" t="inlineStr">
        <is>
          <t>25.00</t>
        </is>
      </c>
      <c r="F30" t="inlineStr">
        <is>
          <t>1</t>
        </is>
      </c>
      <c r="G30" t="inlineStr">
        <is>
          <t>25.00</t>
        </is>
      </c>
      <c r="H30" t="inlineStr"/>
      <c r="I30" t="inlineStr">
        <is>
          <t>2026-10-18</t>
        </is>
      </c>
    </row>
    <row r="31">
      <c r="A31" t="inlineStr">
        <is>
          <t>all</t>
        </is>
      </c>
      <c r="B31" t="inlineStr">
        <is>
          <t>Packaging</t>
        </is>
      </c>
      <c r="C31" t="inlineStr">
        <is>
          <t>box + padding + insert [ESTIMATE]</t>
        </is>
      </c>
      <c r="D31" t="inlineStr">
        <is>
          <t>n/a</t>
        </is>
      </c>
      <c r="E31" t="inlineStr">
        <is>
          <t>5.00</t>
        </is>
      </c>
      <c r="F31" t="inlineStr">
        <is>
          <t>1</t>
        </is>
      </c>
      <c r="G31" t="inlineStr">
        <is>
          <t>5.00</t>
        </is>
      </c>
      <c r="H31" t="inlineStr"/>
      <c r="I31" t="inlineStr">
        <is>
          <t>2026-10-18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3" t="inlineStr">
        <is>
          <t>Add-on</t>
        </is>
      </c>
      <c r="B1" s="3" t="inlineStr">
        <is>
          <t>Price (CAD)</t>
        </is>
      </c>
      <c r="C1" s="3" t="inlineStr">
        <is>
          <t>Est. cost</t>
        </is>
      </c>
      <c r="D1" s="3" t="inlineStr">
        <is>
          <t>Margin</t>
        </is>
      </c>
    </row>
    <row r="2">
      <c r="A2" t="inlineStr">
        <is>
          <t>Extra / two-tone colour</t>
        </is>
      </c>
      <c r="B2" t="n">
        <v>12</v>
      </c>
      <c r="C2" t="n">
        <v>4</v>
      </c>
      <c r="D2" s="5">
        <f>(B2-C2)/B2</f>
        <v/>
      </c>
    </row>
    <row r="3">
      <c r="A3" t="inlineStr">
        <is>
          <t>1.3" OLED upgrade</t>
        </is>
      </c>
      <c r="B3" t="n">
        <v>15</v>
      </c>
      <c r="C3" t="n">
        <v>6</v>
      </c>
      <c r="D3" s="5">
        <f>(B3-C3)/B3</f>
        <v/>
      </c>
    </row>
    <row r="4">
      <c r="A4" t="inlineStr">
        <is>
          <t>Custom message pack</t>
        </is>
      </c>
      <c r="B4" t="n">
        <v>15</v>
      </c>
      <c r="C4" t="n">
        <v>2</v>
      </c>
      <c r="D4" s="5">
        <f>(B4-C4)/B4</f>
        <v/>
      </c>
    </row>
    <row r="5">
      <c r="A5" t="inlineStr">
        <is>
          <t>Gift wrap</t>
        </is>
      </c>
      <c r="B5" t="n">
        <v>12</v>
      </c>
      <c r="C5" t="n">
        <v>4</v>
      </c>
      <c r="D5" s="5">
        <f>(B5-C5)/B5</f>
        <v/>
      </c>
    </row>
    <row r="6">
      <c r="A6" t="inlineStr">
        <is>
          <t>Spare parts kit</t>
        </is>
      </c>
      <c r="B6" t="n">
        <v>18</v>
      </c>
      <c r="C6" t="n">
        <v>7</v>
      </c>
      <c r="D6" s="5">
        <f>(B6-C6)/B6</f>
        <v/>
      </c>
    </row>
    <row r="7">
      <c r="A7" t="inlineStr">
        <is>
          <t>Certified 5V/3A PSU</t>
        </is>
      </c>
      <c r="B7" t="n">
        <v>18</v>
      </c>
      <c r="C7" t="n">
        <v>9</v>
      </c>
      <c r="D7" s="5">
        <f>(B7-C7)/B7</f>
        <v/>
      </c>
    </row>
    <row r="8">
      <c r="A8" t="inlineStr">
        <is>
          <t>Extra USB-C cable</t>
        </is>
      </c>
      <c r="B8" t="n">
        <v>12</v>
      </c>
      <c r="C8" t="n">
        <v>5</v>
      </c>
      <c r="D8" s="5">
        <f>(B8-C8)/B8</f>
        <v/>
      </c>
    </row>
    <row r="9">
      <c r="A9" t="inlineStr">
        <is>
          <t>Second-year extended warranty</t>
        </is>
      </c>
      <c r="B9" t="n">
        <v>25</v>
      </c>
      <c r="C9" t="n">
        <v>8</v>
      </c>
      <c r="D9" s="5">
        <f>(B9-C9)/B9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2026-10-18T22:52:57+00:00Z</dcterms:created>
  <dcterms:modified xmlns:dcterms="http://purl.org/dc/terms/" xmlns:xsi="http://www.w3.org/2001/XMLSchema-instance" xsi:type="dcterms:W3CDTF">2026-10-18T22:52:57+00:00Z</dcterms:modified>
</cp:coreProperties>
</file>